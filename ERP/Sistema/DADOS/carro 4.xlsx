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H4" i="1"/>
  <c r="H5" i="1"/>
  <c r="H6" i="1"/>
  <c r="H7" i="1"/>
  <c r="H8" i="1"/>
  <c r="G4" i="1"/>
  <c r="G5" i="1"/>
  <c r="G6" i="1"/>
  <c r="G7" i="1"/>
  <c r="G8" i="1"/>
  <c r="F4" i="1"/>
  <c r="F5" i="1"/>
  <c r="F6" i="1"/>
  <c r="F7" i="1"/>
  <c r="F8" i="1"/>
  <c r="E4" i="1"/>
  <c r="E5" i="1"/>
  <c r="E6" i="1"/>
  <c r="E7" i="1"/>
  <c r="E8" i="1"/>
  <c r="D5" i="1"/>
  <c r="D6" i="1"/>
  <c r="D7" i="1"/>
  <c r="D8" i="1"/>
  <c r="D4" i="1"/>
  <c r="I3" i="1" l="1"/>
  <c r="H3" i="1"/>
  <c r="G3" i="1"/>
  <c r="F3" i="1"/>
  <c r="E3" i="1"/>
  <c r="D3" i="1"/>
</calcChain>
</file>

<file path=xl/sharedStrings.xml><?xml version="1.0" encoding="utf-8"?>
<sst xmlns="http://schemas.openxmlformats.org/spreadsheetml/2006/main" count="14" uniqueCount="14">
  <si>
    <t xml:space="preserve">carro </t>
  </si>
  <si>
    <t>preço</t>
  </si>
  <si>
    <t xml:space="preserve">preço a vista 5% de desconto </t>
  </si>
  <si>
    <t xml:space="preserve">porcentagem </t>
  </si>
  <si>
    <t>entrda 20%</t>
  </si>
  <si>
    <t>restante</t>
  </si>
  <si>
    <t>juros</t>
  </si>
  <si>
    <t xml:space="preserve">gol bola </t>
  </si>
  <si>
    <t>corsa</t>
  </si>
  <si>
    <t>celta</t>
  </si>
  <si>
    <t>ka</t>
  </si>
  <si>
    <t>uno</t>
  </si>
  <si>
    <t>parcela</t>
  </si>
  <si>
    <t xml:space="preserve">palio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</si>
</sst>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44" fontId="3" fillId="3" borderId="1" xfId="1" applyFont="1" applyFill="1" applyBorder="1"/>
    <xf numFmtId="44" fontId="3" fillId="3" borderId="1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tabSelected="1" workbookViewId="0">
      <selection activeCell="D16" sqref="D15:D16"/>
    </sheetView>
  </sheetViews>
  <sheetFormatPr defaultRowHeight="15" x14ac:dyDescent="0.25"/>
  <cols>
    <col min="3" max="3" width="16.42578125" bestFit="1" customWidth="1"/>
    <col min="4" max="4" width="26.42578125" customWidth="1"/>
    <col min="5" max="5" width="13.140625" customWidth="1"/>
    <col min="6" max="6" width="13" customWidth="1"/>
    <col min="7" max="7" width="15.140625" customWidth="1"/>
    <col min="8" max="9" width="10.5703125" bestFit="1" customWidth="1"/>
  </cols>
  <sheetData>
    <row r="1" spans="2:9" ht="15.75" thickBot="1" x14ac:dyDescent="0.3"/>
    <row r="2" spans="2:9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12</v>
      </c>
      <c r="I2" s="1" t="s">
        <v>6</v>
      </c>
    </row>
    <row r="3" spans="2:9" ht="15.75" thickBot="1" x14ac:dyDescent="0.3">
      <c r="B3" s="2" t="s">
        <v>7</v>
      </c>
      <c r="C3" s="3">
        <v>20000</v>
      </c>
      <c r="D3" s="4">
        <f>C3-C3*5%</f>
        <v>19000</v>
      </c>
      <c r="E3" s="4">
        <f>C3*5%</f>
        <v>1000</v>
      </c>
      <c r="F3" s="4">
        <f>C3*20%</f>
        <v>4000</v>
      </c>
      <c r="G3" s="4">
        <f>C3-F3</f>
        <v>16000</v>
      </c>
      <c r="H3" s="4">
        <f>G3/48</f>
        <v>333.33333333333331</v>
      </c>
      <c r="I3" s="4">
        <f>H3+H3*1.99%</f>
        <v>339.96666666666664</v>
      </c>
    </row>
    <row r="4" spans="2:9" ht="15.75" thickBot="1" x14ac:dyDescent="0.3">
      <c r="B4" s="2" t="s">
        <v>13</v>
      </c>
      <c r="C4" s="3">
        <v>25000</v>
      </c>
      <c r="D4" s="4">
        <f>C4-C4*5%</f>
        <v>23750</v>
      </c>
      <c r="E4" s="4">
        <f t="shared" ref="E4:E8" si="0">C4*5%</f>
        <v>1250</v>
      </c>
      <c r="F4" s="4">
        <f t="shared" ref="F4:F8" si="1">C4*20%</f>
        <v>5000</v>
      </c>
      <c r="G4" s="4">
        <f t="shared" ref="G4:G8" si="2">C4-F4</f>
        <v>20000</v>
      </c>
      <c r="H4" s="4">
        <f t="shared" ref="H4:H8" si="3">G4/48</f>
        <v>416.66666666666669</v>
      </c>
      <c r="I4" s="4">
        <f t="shared" ref="I4:I8" si="4">H4+H4*1.99%</f>
        <v>424.95833333333337</v>
      </c>
    </row>
    <row r="5" spans="2:9" ht="15.75" thickBot="1" x14ac:dyDescent="0.3">
      <c r="B5" s="2" t="s">
        <v>8</v>
      </c>
      <c r="C5" s="3">
        <v>25083</v>
      </c>
      <c r="D5" s="4">
        <f t="shared" ref="D5:D8" si="5">C5-C5*5%</f>
        <v>23828.85</v>
      </c>
      <c r="E5" s="4">
        <f t="shared" si="0"/>
        <v>1254.1500000000001</v>
      </c>
      <c r="F5" s="4">
        <f t="shared" si="1"/>
        <v>5016.6000000000004</v>
      </c>
      <c r="G5" s="4">
        <f t="shared" si="2"/>
        <v>20066.400000000001</v>
      </c>
      <c r="H5" s="4">
        <f t="shared" si="3"/>
        <v>418.05</v>
      </c>
      <c r="I5" s="4">
        <f t="shared" si="4"/>
        <v>426.36919499999999</v>
      </c>
    </row>
    <row r="6" spans="2:9" ht="15.75" thickBot="1" x14ac:dyDescent="0.3">
      <c r="B6" s="2" t="s">
        <v>9</v>
      </c>
      <c r="C6" s="3">
        <v>21900</v>
      </c>
      <c r="D6" s="4">
        <f t="shared" si="5"/>
        <v>20805</v>
      </c>
      <c r="E6" s="4">
        <f t="shared" si="0"/>
        <v>1095</v>
      </c>
      <c r="F6" s="4">
        <f t="shared" si="1"/>
        <v>4380</v>
      </c>
      <c r="G6" s="4">
        <f t="shared" si="2"/>
        <v>17520</v>
      </c>
      <c r="H6" s="4">
        <f t="shared" si="3"/>
        <v>365</v>
      </c>
      <c r="I6" s="4">
        <f t="shared" si="4"/>
        <v>372.26350000000002</v>
      </c>
    </row>
    <row r="7" spans="2:9" ht="15.75" thickBot="1" x14ac:dyDescent="0.3">
      <c r="B7" s="2" t="s">
        <v>10</v>
      </c>
      <c r="C7" s="3">
        <v>18129</v>
      </c>
      <c r="D7" s="4">
        <f t="shared" si="5"/>
        <v>17222.55</v>
      </c>
      <c r="E7" s="4">
        <f t="shared" si="0"/>
        <v>906.45</v>
      </c>
      <c r="F7" s="4">
        <f t="shared" si="1"/>
        <v>3625.8</v>
      </c>
      <c r="G7" s="4">
        <f t="shared" si="2"/>
        <v>14503.2</v>
      </c>
      <c r="H7" s="4">
        <f t="shared" si="3"/>
        <v>302.15000000000003</v>
      </c>
      <c r="I7" s="4">
        <f t="shared" si="4"/>
        <v>308.16278500000004</v>
      </c>
    </row>
    <row r="8" spans="2:9" ht="15.75" thickBot="1" x14ac:dyDescent="0.3">
      <c r="B8" s="2" t="s">
        <v>11</v>
      </c>
      <c r="C8" s="3">
        <v>21889</v>
      </c>
      <c r="D8" s="4">
        <f t="shared" si="5"/>
        <v>20794.55</v>
      </c>
      <c r="E8" s="4">
        <f t="shared" si="0"/>
        <v>1094.45</v>
      </c>
      <c r="F8" s="4">
        <f t="shared" si="1"/>
        <v>4377.8</v>
      </c>
      <c r="G8" s="4">
        <f t="shared" si="2"/>
        <v>17511.2</v>
      </c>
      <c r="H8" s="4">
        <f t="shared" si="3"/>
        <v>364.81666666666666</v>
      </c>
      <c r="I8" s="4">
        <f t="shared" si="4"/>
        <v>372.07651833333335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2024-07-29T17:05:39Z</dcterms:created>
  <dcterms:modified xsi:type="dcterms:W3CDTF">2024-07-31T17:06:01Z</dcterms:modified>
</cp:coreProperties>
</file>